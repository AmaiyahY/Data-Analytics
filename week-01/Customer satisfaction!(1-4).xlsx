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aiyah Young\Downloads\"/>
    </mc:Choice>
  </mc:AlternateContent>
  <xr:revisionPtr revIDLastSave="0" documentId="13_ncr:1_{0CD24243-9A26-4621-8CBC-C5768511D4F4}" xr6:coauthVersionLast="47" xr6:coauthVersionMax="47" xr10:uidLastSave="{00000000-0000-0000-0000-000000000000}"/>
  <bookViews>
    <workbookView xWindow="15675" yWindow="195" windowWidth="19305" windowHeight="20685" activeTab="1" xr2:uid="{00000000-000D-0000-FFFF-FFFF00000000}"/>
  </bookViews>
  <sheets>
    <sheet name="Sheet2" sheetId="6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J6" i="1"/>
  <c r="I6" i="1"/>
  <c r="D6" i="1"/>
  <c r="D2" i="1"/>
  <c r="D3" i="1"/>
  <c r="D4" i="1"/>
  <c r="D5" i="1"/>
</calcChain>
</file>

<file path=xl/sharedStrings.xml><?xml version="1.0" encoding="utf-8"?>
<sst xmlns="http://schemas.openxmlformats.org/spreadsheetml/2006/main" count="66" uniqueCount="44">
  <si>
    <t>ID</t>
  </si>
  <si>
    <t>Start time</t>
  </si>
  <si>
    <t>Completion time</t>
  </si>
  <si>
    <t>Email</t>
  </si>
  <si>
    <t>Name</t>
  </si>
  <si>
    <t>Last modified time</t>
  </si>
  <si>
    <t>How often do you visit [Cafe Name]</t>
  </si>
  <si>
    <t>How would you rate the quality of your food/drink today?</t>
  </si>
  <si>
    <t>How likely are you to recommend us to a friend or colleague?</t>
  </si>
  <si>
    <t>Would you participate in a rewards program if we were to make one?</t>
  </si>
  <si>
    <t>What type of perks would you like in the reward system?</t>
  </si>
  <si>
    <t>Is there any type of feedback you would like to share with us?</t>
  </si>
  <si>
    <t>Cleansiness</t>
  </si>
  <si>
    <t>Visual appeal</t>
  </si>
  <si>
    <t>Performance</t>
  </si>
  <si>
    <t>Cost</t>
  </si>
  <si>
    <t>ilee@my.yearupunited.org</t>
  </si>
  <si>
    <t>idasha lee</t>
  </si>
  <si>
    <t>Daily</t>
  </si>
  <si>
    <t>No</t>
  </si>
  <si>
    <t>Free monthly items</t>
  </si>
  <si>
    <t>Last week my service was rather slow, and I got my hot coffee once it was already cold. Staff was friendly but wait was unacceptable.</t>
  </si>
  <si>
    <t>Satisifed</t>
  </si>
  <si>
    <t>Extremely satisfied</t>
  </si>
  <si>
    <t>Neutral</t>
  </si>
  <si>
    <t>dsacko@my.yearupunited.org</t>
  </si>
  <si>
    <t>djeneba sacko</t>
  </si>
  <si>
    <t>Weekly</t>
  </si>
  <si>
    <t>Yes</t>
  </si>
  <si>
    <t xml:space="preserve">points with every purchase </t>
  </si>
  <si>
    <t>Add cookies to your menu.</t>
  </si>
  <si>
    <t>cspringer@my.yearupunited.org</t>
  </si>
  <si>
    <t>christopher springer</t>
  </si>
  <si>
    <t>Points system for future purchases.</t>
  </si>
  <si>
    <t>Open more locations.</t>
  </si>
  <si>
    <t>dmendez1@my.yearupunited.org</t>
  </si>
  <si>
    <t>denae mendez</t>
  </si>
  <si>
    <t>A free birthday dessert</t>
  </si>
  <si>
    <t>Time to Complete</t>
  </si>
  <si>
    <t xml:space="preserve">Satisifed </t>
  </si>
  <si>
    <t>Row Labels</t>
  </si>
  <si>
    <t>Grand Total</t>
  </si>
  <si>
    <t>Total Amount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</si>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</sst>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/d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28" formatCode="mm:ss"/>
    </dxf>
    <dxf>
      <numFmt numFmtId="164" formatCode="m/d/yy\ h:mm:ss"/>
    </dxf>
    <dxf>
      <numFmt numFmtId="164" formatCode="m/d/yy\ h:mm:ss"/>
    </dxf>
    <dxf>
      <numFmt numFmtId="165" formatCode="m/d/yyyy\ hh:mm:ss"/>
    </dxf>
    <dxf>
      <numFmt numFmtId="165" formatCode="m/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satisfaction!(1-4).xlsx]Sheet2!PivotTable5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Customer's</a:t>
            </a:r>
            <a:r>
              <a:rPr lang="en-US" baseline="0"/>
              <a:t>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Sheet2!$C$7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66-4643-8296-3868A55138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66-4643-8296-3868A55138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66-4643-8296-3868A551384A}"/>
              </c:ext>
            </c:extLst>
          </c:dPt>
          <c:cat>
            <c:strRef>
              <c:f>Sheet2!$B$8:$B$11</c:f>
              <c:strCache>
                <c:ptCount val="3"/>
                <c:pt idx="0">
                  <c:v>Extremely satisfied</c:v>
                </c:pt>
                <c:pt idx="1">
                  <c:v>Neutral</c:v>
                </c:pt>
                <c:pt idx="2">
                  <c:v>Satisifed </c:v>
                </c:pt>
              </c:strCache>
            </c:strRef>
          </c:cat>
          <c:val>
            <c:numRef>
              <c:f>Sheet2!$C$8:$C$11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B-4BF8-B609-FD677C9DC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C65BD-F126-0F3F-2248-D1EB12B1C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iyah Young" refreshedDate="46311.936911458331" createdVersion="8" refreshedVersion="8" minRefreshableVersion="3" recordCount="3" xr:uid="{31A7A067-9A09-441E-A871-40A74F3174EB}">
  <cacheSource type="worksheet">
    <worksheetSource ref="A9:B12" sheet="Sheet1"/>
  </cacheSource>
  <cacheFields count="2">
    <cacheField name="Total Amount" numFmtId="0">
      <sharedItems count="3">
        <s v="Satisifed "/>
        <s v="Extremely satisfied"/>
        <s v="Neutral"/>
      </sharedItems>
    </cacheField>
    <cacheField name="Field2" caption="Field2" numFmtId="0">
      <sharedItems containsSemiMixedTypes="0" containsString="0" containsNumber="1" containsInteger="1" minValue="4" maxValue="6" count="2">
        <n v="6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0"/>
  </r>
  <r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F5853-4A1C-48FE-9DC2-AB284D2DD3C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7:C11" firstHeaderRow="1" firstDataRow="1" firstDataCol="1"/>
  <pivotFields count="2"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6" totalsRowCount="1">
  <autoFilter ref="A1:Q5" xr:uid="{00000000-0009-0000-0100-000001000000}"/>
  <tableColumns count="17">
    <tableColumn id="1" xr3:uid="{00000000-0010-0000-0000-000001000000}" name="ID" dataDxfId="33" totalsRowDxfId="32"/>
    <tableColumn id="2" xr3:uid="{00000000-0010-0000-0000-000002000000}" name="Start time" dataDxfId="31" totalsRowDxfId="30"/>
    <tableColumn id="3" xr3:uid="{00000000-0010-0000-0000-000003000000}" name="Completion time" dataDxfId="29" totalsRowDxfId="28"/>
    <tableColumn id="17" xr3:uid="{76112DA7-2A0C-4037-9ECB-6C928659E275}" name="Time to Complete" totalsRowFunction="custom" dataDxfId="27" totalsRowDxfId="26">
      <calculatedColumnFormula>C2-B2</calculatedColumnFormula>
      <totalsRowFormula>AVERAGE(D2:D5)</totalsRowFormula>
    </tableColumn>
    <tableColumn id="4" xr3:uid="{00000000-0010-0000-0000-000004000000}" name="Email" dataDxfId="25" totalsRowDxfId="24"/>
    <tableColumn id="5" xr3:uid="{00000000-0010-0000-0000-000005000000}" name="Name" dataDxfId="23" totalsRowDxfId="22"/>
    <tableColumn id="6" xr3:uid="{00000000-0010-0000-0000-000006000000}" name="Last modified time" dataDxfId="21" totalsRowDxfId="20"/>
    <tableColumn id="7" xr3:uid="{00000000-0010-0000-0000-000007000000}" name="How often do you visit [Cafe Name]" dataDxfId="19" totalsRowDxfId="18"/>
    <tableColumn id="8" xr3:uid="{00000000-0010-0000-0000-000008000000}" name="How would you rate the quality of your food/drink today?" totalsRowFunction="custom" dataDxfId="17" totalsRowDxfId="16">
      <totalsRowFormula>AVERAGE(I2:I5)</totalsRowFormula>
    </tableColumn>
    <tableColumn id="9" xr3:uid="{00000000-0010-0000-0000-000009000000}" name="How likely are you to recommend us to a friend or colleague?" totalsRowFunction="custom" dataDxfId="15" totalsRowDxfId="14">
      <totalsRowFormula>AVERAGE(J2:J5)</totalsRowFormula>
    </tableColumn>
    <tableColumn id="10" xr3:uid="{00000000-0010-0000-0000-00000A000000}" name="Would you participate in a rewards program if we were to make one?" dataDxfId="13" totalsRowDxfId="12"/>
    <tableColumn id="11" xr3:uid="{00000000-0010-0000-0000-00000B000000}" name="What type of perks would you like in the reward system?" dataDxfId="11" totalsRowDxfId="10"/>
    <tableColumn id="12" xr3:uid="{00000000-0010-0000-0000-00000C000000}" name="Is there any type of feedback you would like to share with us?" dataDxfId="9" totalsRowDxfId="8"/>
    <tableColumn id="13" xr3:uid="{00000000-0010-0000-0000-00000D000000}" name="Cleansiness" dataDxfId="7" totalsRowDxfId="6"/>
    <tableColumn id="14" xr3:uid="{00000000-0010-0000-0000-00000E000000}" name="Visual appeal" dataDxfId="5" totalsRowDxfId="4"/>
    <tableColumn id="15" xr3:uid="{00000000-0010-0000-0000-00000F000000}" name="Performance" dataDxfId="3" totalsRowDxfId="2"/>
    <tableColumn id="16" xr3:uid="{00000000-0010-0000-0000-000010000000}" name="Cos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C73C-0B52-4763-8523-973190FFE90F}">
  <dimension ref="B7:C11"/>
  <sheetViews>
    <sheetView workbookViewId="0">
      <selection activeCell="D9" sqref="D9"/>
    </sheetView>
  </sheetViews>
  <sheetFormatPr defaultRowHeight="15" x14ac:dyDescent="0.25"/>
  <cols>
    <col min="1" max="2" width="18.28515625" bestFit="1" customWidth="1"/>
    <col min="3" max="3" width="4.85546875" bestFit="1" customWidth="1"/>
  </cols>
  <sheetData>
    <row r="7" spans="2:3" x14ac:dyDescent="0.25">
      <c r="B7" s="5" t="s">
        <v>40</v>
      </c>
      <c r="C7" t="s">
        <v>43</v>
      </c>
    </row>
    <row r="8" spans="2:3" x14ac:dyDescent="0.25">
      <c r="B8" s="6" t="s">
        <v>23</v>
      </c>
      <c r="C8">
        <v>6</v>
      </c>
    </row>
    <row r="9" spans="2:3" x14ac:dyDescent="0.25">
      <c r="B9" s="6" t="s">
        <v>24</v>
      </c>
      <c r="C9">
        <v>4</v>
      </c>
    </row>
    <row r="10" spans="2:3" x14ac:dyDescent="0.25">
      <c r="B10" s="6" t="s">
        <v>39</v>
      </c>
      <c r="C10">
        <v>6</v>
      </c>
    </row>
    <row r="11" spans="2:3" x14ac:dyDescent="0.25">
      <c r="B11" s="6" t="s">
        <v>41</v>
      </c>
      <c r="C11">
        <v>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B15" sqref="B15"/>
    </sheetView>
  </sheetViews>
  <sheetFormatPr defaultRowHeight="15" x14ac:dyDescent="0.25"/>
  <cols>
    <col min="1" max="1" width="20" bestFit="1" customWidth="1"/>
    <col min="2" max="2" width="20" style="2" bestFit="1" customWidth="1"/>
    <col min="3" max="3" width="21.5703125" customWidth="1"/>
    <col min="4" max="4" width="21.5703125" style="3" customWidth="1"/>
    <col min="5" max="5" width="34.42578125" customWidth="1"/>
    <col min="6" max="6" width="20" bestFit="1" customWidth="1"/>
    <col min="7" max="7" width="18.7109375" customWidth="1"/>
    <col min="8" max="8" width="35.28515625" customWidth="1"/>
    <col min="9" max="9" width="52.85546875" customWidth="1"/>
    <col min="10" max="10" width="56.7109375" customWidth="1"/>
    <col min="11" max="11" width="62.28515625" customWidth="1"/>
    <col min="12" max="12" width="52.28515625" customWidth="1"/>
    <col min="13" max="13" width="58" customWidth="1"/>
    <col min="14" max="17" width="20" bestFit="1" customWidth="1"/>
  </cols>
  <sheetData>
    <row r="1" spans="1:17" x14ac:dyDescent="0.25">
      <c r="A1" t="s">
        <v>0</v>
      </c>
      <c r="B1" s="2" t="s">
        <v>1</v>
      </c>
      <c r="C1" t="s">
        <v>2</v>
      </c>
      <c r="D1" s="3" t="s">
        <v>38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s="2">
        <v>46310.557997685188</v>
      </c>
      <c r="C2" s="2">
        <v>46310.559328703705</v>
      </c>
      <c r="D2" s="3">
        <f t="shared" ref="D2:D5" si="0">C2-B2</f>
        <v>1.3310185167938471E-3</v>
      </c>
      <c r="E2" t="s">
        <v>16</v>
      </c>
      <c r="F2" t="s">
        <v>17</v>
      </c>
      <c r="G2" s="1"/>
      <c r="H2" t="s">
        <v>18</v>
      </c>
      <c r="I2">
        <v>2</v>
      </c>
      <c r="J2">
        <v>5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24</v>
      </c>
    </row>
    <row r="3" spans="1:17" x14ac:dyDescent="0.25">
      <c r="A3">
        <v>2</v>
      </c>
      <c r="B3" s="2">
        <v>46310.860914351855</v>
      </c>
      <c r="C3" s="1">
        <v>46310.862592592595</v>
      </c>
      <c r="D3" s="3">
        <f t="shared" si="0"/>
        <v>1.6782407401478849E-3</v>
      </c>
      <c r="E3" t="s">
        <v>25</v>
      </c>
      <c r="F3" t="s">
        <v>26</v>
      </c>
      <c r="G3" s="1"/>
      <c r="H3" t="s">
        <v>27</v>
      </c>
      <c r="I3">
        <v>5</v>
      </c>
      <c r="J3">
        <v>8</v>
      </c>
      <c r="K3" t="s">
        <v>28</v>
      </c>
      <c r="L3" t="s">
        <v>29</v>
      </c>
      <c r="M3" t="s">
        <v>30</v>
      </c>
      <c r="N3" t="s">
        <v>22</v>
      </c>
      <c r="O3" t="s">
        <v>22</v>
      </c>
      <c r="P3" t="s">
        <v>23</v>
      </c>
      <c r="Q3" t="s">
        <v>24</v>
      </c>
    </row>
    <row r="4" spans="1:17" x14ac:dyDescent="0.25">
      <c r="A4">
        <v>3</v>
      </c>
      <c r="B4" s="2">
        <v>46311.561469907407</v>
      </c>
      <c r="C4" s="1">
        <v>46311.5624537037</v>
      </c>
      <c r="D4" s="3">
        <f t="shared" si="0"/>
        <v>9.8379629343980923E-4</v>
      </c>
      <c r="E4" t="s">
        <v>31</v>
      </c>
      <c r="F4" t="s">
        <v>32</v>
      </c>
      <c r="G4" s="1"/>
      <c r="H4" t="s">
        <v>27</v>
      </c>
      <c r="I4">
        <v>5</v>
      </c>
      <c r="J4">
        <v>10</v>
      </c>
      <c r="K4" t="s">
        <v>28</v>
      </c>
      <c r="L4" t="s">
        <v>33</v>
      </c>
      <c r="M4" t="s">
        <v>34</v>
      </c>
      <c r="N4" t="s">
        <v>23</v>
      </c>
      <c r="O4" t="s">
        <v>22</v>
      </c>
      <c r="P4" t="s">
        <v>22</v>
      </c>
      <c r="Q4" t="s">
        <v>23</v>
      </c>
    </row>
    <row r="5" spans="1:17" x14ac:dyDescent="0.25">
      <c r="A5">
        <v>4</v>
      </c>
      <c r="B5" s="2">
        <v>46311.692986111113</v>
      </c>
      <c r="C5" s="1">
        <v>46311.693692129629</v>
      </c>
      <c r="D5" s="3">
        <f t="shared" si="0"/>
        <v>7.0601851621177047E-4</v>
      </c>
      <c r="E5" t="s">
        <v>35</v>
      </c>
      <c r="F5" t="s">
        <v>36</v>
      </c>
      <c r="G5" s="1"/>
      <c r="H5" t="s">
        <v>27</v>
      </c>
      <c r="I5">
        <v>5</v>
      </c>
      <c r="J5">
        <v>10</v>
      </c>
      <c r="K5" t="s">
        <v>28</v>
      </c>
      <c r="L5" t="s">
        <v>37</v>
      </c>
      <c r="N5" t="s">
        <v>22</v>
      </c>
      <c r="O5" t="s">
        <v>23</v>
      </c>
      <c r="P5" t="s">
        <v>23</v>
      </c>
      <c r="Q5" t="s">
        <v>24</v>
      </c>
    </row>
    <row r="6" spans="1:17" x14ac:dyDescent="0.25">
      <c r="C6" s="1"/>
      <c r="D6" s="3">
        <f>AVERAGE(D2:D5)</f>
        <v>1.1747685166483279E-3</v>
      </c>
      <c r="G6" s="1"/>
      <c r="I6">
        <f>AVERAGE(I2:I5)</f>
        <v>4.25</v>
      </c>
      <c r="J6">
        <f>AVERAGE(J2:J5)</f>
        <v>8.25</v>
      </c>
    </row>
    <row r="9" spans="1:17" x14ac:dyDescent="0.25">
      <c r="A9" s="4" t="s">
        <v>42</v>
      </c>
      <c r="B9"/>
    </row>
    <row r="10" spans="1:17" x14ac:dyDescent="0.25">
      <c r="A10" s="4" t="s">
        <v>39</v>
      </c>
      <c r="B10">
        <f>SUM(COUNTIF(N2:N5,"Satisifed"), COUNTIF(O2:O5,"Satisifed"), COUNTIF(P2:P5,"Satisifed"), COUNTIF(Q2:Q5,"Satisifed"))</f>
        <v>6</v>
      </c>
    </row>
    <row r="11" spans="1:17" x14ac:dyDescent="0.25">
      <c r="A11" s="4" t="s">
        <v>23</v>
      </c>
      <c r="B11">
        <f>SUM(COUNTIF(N2:N5,"Extremely Satisfied"), COUNTIF(O2:O5,"Extremely Satisfied"), COUNTIF(P2:P5,"Extremely Satisfied"), COUNTIF(Q2:Q5,"Extremely Satisfied"))</f>
        <v>6</v>
      </c>
    </row>
    <row r="12" spans="1:17" x14ac:dyDescent="0.25">
      <c r="A12" s="4" t="s">
        <v>24</v>
      </c>
      <c r="B12">
        <f>SUM(COUNTIF(N2:N5,"Neutral"), COUNTIF(O2:O5,"Neutral"), COUNTIF(P2:P5,"Neutral"), COUNTIF(Q2:Q5,"Neutral"))</f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Amaiyah Young</cp:lastModifiedBy>
  <dcterms:created xsi:type="dcterms:W3CDTF">2026-10-17T01:19:45Z</dcterms:created>
  <dcterms:modified xsi:type="dcterms:W3CDTF">2026-10-17T02:37:30Z</dcterms:modified>
</cp:coreProperties>
</file>